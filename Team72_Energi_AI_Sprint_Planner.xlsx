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LL\Desktop\Google Drive sincronizar\NoCountry Hackaton ONE\Demo Day\"/>
    </mc:Choice>
  </mc:AlternateContent>
  <xr:revisionPtr revIDLastSave="0" documentId="13_ncr:1_{F1B365EA-10A1-4A21-8631-85D725B806F2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Resumen y Equipo" sheetId="1" r:id="rId1"/>
    <sheet name="Cronograma de Trabajo" sheetId="2" r:id="rId2"/>
  </sheets>
  <definedNames>
    <definedName name="_xlnm._FilterDatabase" localSheetId="1" hidden="1">'Cronograma de Trabajo'!$A$6:$M$32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8" i="2" l="1"/>
  <c r="D36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C9" i="1"/>
  <c r="C8" i="1"/>
</calcChain>
</file>

<file path=xl/sharedStrings.xml><?xml version="1.0" encoding="utf-8"?>
<sst xmlns="http://schemas.openxmlformats.org/spreadsheetml/2006/main" count="336" uniqueCount="199">
  <si>
    <t>Generated 2026-07-16 | v1.0</t>
  </si>
  <si>
    <t>EnergiAI – Inteligencia para el Consumo Energético</t>
  </si>
  <si>
    <t>Hackathon ONE G9 | Estructura del Proyecto, Roles y Arquitectura OCI Always Free</t>
  </si>
  <si>
    <t>1. ÍNDICE DE CONTENIDOS</t>
  </si>
  <si>
    <t>Pestaña</t>
  </si>
  <si>
    <t>Descripción</t>
  </si>
  <si>
    <t>Enlace</t>
  </si>
  <si>
    <t>Resumen y Equipo</t>
  </si>
  <si>
    <t>Cronograma de Trabajo</t>
  </si>
  <si>
    <t>Plan detallado de 3 semanas (Sprints) con tareas secuenciales y paralelas.</t>
  </si>
  <si>
    <t>2. INTEGRANTES DEL EQUIPO Y ROLES (TEAM 72)</t>
  </si>
  <si>
    <t>Nombre</t>
  </si>
  <si>
    <t>Rol</t>
  </si>
  <si>
    <t>Responsabilidades en EnergiAI</t>
  </si>
  <si>
    <t>Héctor Rafael Caraucán Dávila</t>
  </si>
  <si>
    <t>Project Manager</t>
  </si>
  <si>
    <t>Gestión general, sprints, aprovisionamiento de OCI (Compute, Object Storage, VCN), budgets, control de riesgos y pitch.</t>
  </si>
  <si>
    <t>Lorena Bustos Castañeda</t>
  </si>
  <si>
    <t>Backend Developer</t>
  </si>
  <si>
    <t>Desarrollo del esqueleto de Spring Boot, validaciones del payload de consumo, endpoints y manejo de excepciones.</t>
  </si>
  <si>
    <t>Alvaro Holguin Vega</t>
  </si>
  <si>
    <t>Integración de API con el modelo serializado de DS, endpoints de consulta, estructuración de JSON y pruebas unitarias.</t>
  </si>
  <si>
    <t>Arturo Morales</t>
  </si>
  <si>
    <t>Despliegue de Spring Boot en OCI Compute, containerización con Docker, documentación con Swagger/OpenAPI.</t>
  </si>
  <si>
    <t>Data Scientist</t>
  </si>
  <si>
    <t>Preparación y simulación de la base de datos de consumo energético, EDA preliminar, definición de variables de entrada.</t>
  </si>
  <si>
    <t>Zuleyca Guadalupe Balles Soto</t>
  </si>
  <si>
    <t>Entrenamiento de modelos supervisados en Python (Scikit-Learn: Random Forest/Logistic Regression) y optimización de métricas.</t>
  </si>
  <si>
    <t>Luis Carlos Leguizamon Rojas</t>
  </si>
  <si>
    <t>Evaluación de modelos, serialización (joblib/pkl) y empaquetamiento del motor de inferencia e integración en OCI.</t>
  </si>
  <si>
    <t>Sandra Milena Arboleda Gomez</t>
  </si>
  <si>
    <t>Data Analyst</t>
  </si>
  <si>
    <t>Definición de las reglas de clasificación (Eficiente, Moderado, Ineficiente), lógica de recomendaciones y estimación financiera a $0.75 kWh.</t>
  </si>
  <si>
    <t>3. CONVENCIONES DE COLORES EN EL PLANIFICADOR</t>
  </si>
  <si>
    <t>Color</t>
  </si>
  <si>
    <t>Significado</t>
  </si>
  <si>
    <t>Uso</t>
  </si>
  <si>
    <t>Azul Claro (DCE6F1)</t>
  </si>
  <si>
    <t>Entradas editables</t>
  </si>
  <si>
    <t>Campos donde el equipo ingresa fechas, estados o asignados.</t>
  </si>
  <si>
    <t>Verde Claro (E2EFDA)</t>
  </si>
  <si>
    <t>Campos calculados</t>
  </si>
  <si>
    <t>Duración de tareas u outputs autogenerados.</t>
  </si>
  <si>
    <t>Gris Azulado (D9E1F2)</t>
  </si>
  <si>
    <t>Subtotales o Hitos</t>
  </si>
  <si>
    <t>Fin de un sprint o indicador de avance de fase.</t>
  </si>
  <si>
    <t>Amarillo (FFF2CC)</t>
  </si>
  <si>
    <t>Placeholder / Por Definir</t>
  </si>
  <si>
    <t>Tareas opcionales o datos que se definirán durante el sprint.</t>
  </si>
  <si>
    <t>Planificador EnergiAI – Cronograma de 3 Semanas (Metodología Sprint)</t>
  </si>
  <si>
    <t>Inicia: Viernes 17 de Julio, 2026 | Sprints de 1 semana para MVP funcional</t>
  </si>
  <si>
    <t>ID</t>
  </si>
  <si>
    <t>Sprint</t>
  </si>
  <si>
    <t>Fase / Módulo</t>
  </si>
  <si>
    <t>Actividad / Tarea</t>
  </si>
  <si>
    <t>Asignado A</t>
  </si>
  <si>
    <t>Tipo de Actividad</t>
  </si>
  <si>
    <t>Dependencia</t>
  </si>
  <si>
    <t>F. Inicio</t>
  </si>
  <si>
    <t>F. Fin</t>
  </si>
  <si>
    <t>Duración (Días)</t>
  </si>
  <si>
    <t>Estado</t>
  </si>
  <si>
    <t>Servicios OCI Always Free</t>
  </si>
  <si>
    <t>Entregable / Output Esperado</t>
  </si>
  <si>
    <t>T1</t>
  </si>
  <si>
    <t>Sprint 1</t>
  </si>
  <si>
    <t>Gestión &amp; OCI</t>
  </si>
  <si>
    <t>Configurar políticas IAM, compartimentos y grupos para el equipo</t>
  </si>
  <si>
    <t>Héctor (PM)</t>
  </si>
  <si>
    <t>Secuencial</t>
  </si>
  <si>
    <t>-</t>
  </si>
  <si>
    <t>OCI IAM / Compartments</t>
  </si>
  <si>
    <t>Políticas IAM y compartimento EnergiAI listos</t>
  </si>
  <si>
    <t>T2</t>
  </si>
  <si>
    <t>Creación de VCN, subred pública/privada y security lists</t>
  </si>
  <si>
    <t>Paralela</t>
  </si>
  <si>
    <t>OCI Virtual Cloud Network (VCN)</t>
  </si>
  <si>
    <t>Red virtual EnergiAI configurada</t>
  </si>
  <si>
    <t>T3</t>
  </si>
  <si>
    <t>Ciencia de Datos</t>
  </si>
  <si>
    <t>Simular y preparar el dataset de consumo energético (CSV)</t>
  </si>
  <si>
    <t>OCI Object Storage</t>
  </si>
  <si>
    <t>Dataset sintético 'consumo_energia_sintetico.csv'</t>
  </si>
  <si>
    <t>T4</t>
  </si>
  <si>
    <t>Análisis Exploratorio de Datos (EDA) en Jupyter Notebook</t>
  </si>
  <si>
    <t>Zuleyca (DS)</t>
  </si>
  <si>
    <t>Local Jupyter Notebook</t>
  </si>
  <si>
    <t>Notebook con EDA y perfilado de variables</t>
  </si>
  <si>
    <t>T5</t>
  </si>
  <si>
    <t>Data Analytics</t>
  </si>
  <si>
    <t>Definición de criterios de clasificación (Eficiente/Infe) y lógica financiera</t>
  </si>
  <si>
    <t>Sandra (DA)</t>
  </si>
  <si>
    <t>Excel / Local</t>
  </si>
  <si>
    <t>Matriz de reglas de negocio ($0.75/kWh)</t>
  </si>
  <si>
    <t>T6</t>
  </si>
  <si>
    <t>Backend</t>
  </si>
  <si>
    <t>Crear esqueleto base del proyecto en Java con Spring Boot</t>
  </si>
  <si>
    <t>Lorena (Dev)</t>
  </si>
  <si>
    <t>Local Dev</t>
  </si>
  <si>
    <t>Proyecto Spring Boot subido a GitHub</t>
  </si>
  <si>
    <t>T7</t>
  </si>
  <si>
    <t>Definir DTOs de entrada/salida y crear endpoint POST estático</t>
  </si>
  <si>
    <t>Alvaro (Dev)</t>
  </si>
  <si>
    <t>Endpoint /analisis-energetico respondiendo mock JSON</t>
  </si>
  <si>
    <t>FE1</t>
  </si>
  <si>
    <t>Frontend</t>
  </si>
  <si>
    <t>Definir sistema de diseño y maquetar la SPA estática (formulario de 5 campos + tarjetas) contra el endpoint mock</t>
  </si>
  <si>
    <t>Frontend (por definir)</t>
  </si>
  <si>
    <t>Local Dev (React/Vite)</t>
  </si>
  <si>
    <t>SPA estática con formulario y tarjetas de resultado usando datos mock</t>
  </si>
  <si>
    <t>T8</t>
  </si>
  <si>
    <t>S1 HITO</t>
  </si>
  <si>
    <t>Hito Sprint 1: Cimientos de Datos y Estructura API aprobada</t>
  </si>
  <si>
    <t>Todo el Equipo</t>
  </si>
  <si>
    <t>Hito</t>
  </si>
  <si>
    <t>T4, T5, T7</t>
  </si>
  <si>
    <t>Esqueleto de API funcional y dataset base validado</t>
  </si>
  <si>
    <t>T9</t>
  </si>
  <si>
    <t>Sprint 2</t>
  </si>
  <si>
    <t>Entrenar modelos supervisados de clasificación en Scikit-Learn</t>
  </si>
  <si>
    <t>Local Dev (Python)</t>
  </si>
  <si>
    <t>Modelos entrenados y métricas evaluadas</t>
  </si>
  <si>
    <t>T10</t>
  </si>
  <si>
    <t>Serializar el modelo (pkl/joblib) y subirlo a OCI Object Storage</t>
  </si>
  <si>
    <t>Luis (DS)</t>
  </si>
  <si>
    <t>Modelo serializado en Bucket de OCI</t>
  </si>
  <si>
    <t>T11</t>
  </si>
  <si>
    <t>Desarrollar motor de recomendaciones dinámicas basadas en perfiles</t>
  </si>
  <si>
    <t>Excel / JSON Local</t>
  </si>
  <si>
    <t>Reglas JSON cargadas en el backend</t>
  </si>
  <si>
    <t>T12</t>
  </si>
  <si>
    <t>Integrar carga de modelo desde OCI y desarrollar lógica de recomendaciones</t>
  </si>
  <si>
    <t>T10, T11</t>
  </si>
  <si>
    <t>OCI Object Storage SDK</t>
  </si>
  <si>
    <t>Inferencia de modelo y reglas de recomendación integradas</t>
  </si>
  <si>
    <t>T13</t>
  </si>
  <si>
    <t>Implementar cálculo financiero ($0.75/kWh) y validaciones de entrada</t>
  </si>
  <si>
    <t>Validaciones de payload de entrada y lógica de costos</t>
  </si>
  <si>
    <t>T14</t>
  </si>
  <si>
    <t>Creación de OCI Compute VM Flexible (ARM/AMD Always Free)</t>
  </si>
  <si>
    <t>OCI Compute</t>
  </si>
  <si>
    <t>FE2</t>
  </si>
  <si>
    <t>Integrar la SPA con el API: fetch a POST /analisis-energetico, estados de carga/error y validación de entrada</t>
  </si>
  <si>
    <t>API REST (Spring Boot)</t>
  </si>
  <si>
    <t>SPA consumiendo inferencia real: categoría, probabilidad, costo y recomendaciones</t>
  </si>
  <si>
    <t>T15</t>
  </si>
  <si>
    <t>S2 HITO</t>
  </si>
  <si>
    <t>Hito Sprint 2: Modelo integrado en el backend y OCI VM lista</t>
  </si>
  <si>
    <t>T12, T13, T14</t>
  </si>
  <si>
    <t>Código backend unificado con modelo predictivo de DS</t>
  </si>
  <si>
    <t>T16</t>
  </si>
  <si>
    <t>Sprint 3</t>
  </si>
  <si>
    <t>Containerizar backend y configurar Docker/OCI Container Registry</t>
  </si>
  <si>
    <t>Arturo (Dev)</t>
  </si>
  <si>
    <t>OCI Container Registry</t>
  </si>
  <si>
    <t>Docker Image del Backend lista en repositorio</t>
  </si>
  <si>
    <t>T17</t>
  </si>
  <si>
    <t>Desplegar API REST en OCI Compute VM y configurar red/firewall</t>
  </si>
  <si>
    <t>OCI Compute / Route Tables / IG</t>
  </si>
  <si>
    <t>API en vivo en la IP pública de OCI</t>
  </si>
  <si>
    <t>T18</t>
  </si>
  <si>
    <t>Configurar OpenAPI/Swagger y generar documentación de API</t>
  </si>
  <si>
    <t>Swagger UI</t>
  </si>
  <si>
    <t>Documentación /swagger-ui/index.html lista</t>
  </si>
  <si>
    <t>T19</t>
  </si>
  <si>
    <t>Pruebas</t>
  </si>
  <si>
    <t>Pruebas de estrés y validación con los 3 casos de prueba requeridos</t>
  </si>
  <si>
    <t>API Client (Postman)</t>
  </si>
  <si>
    <t>Reporte de pruebas con 3 escenarios de prueba</t>
  </si>
  <si>
    <t>T20</t>
  </si>
  <si>
    <t>Configurar OCI Budgets, Alertas y Cloud Guard para monitoreo</t>
  </si>
  <si>
    <t>OCI Budgets / Cloud Guard</t>
  </si>
  <si>
    <t>Alertas financieras y alertas de seguridad activas</t>
  </si>
  <si>
    <t>T21</t>
  </si>
  <si>
    <t>Elaboración de presentación de Pitch, Demo técnica y Pitch final</t>
  </si>
  <si>
    <t>Slides y demostración del MVP functional listas</t>
  </si>
  <si>
    <t>FE3</t>
  </si>
  <si>
    <t>Build de producción y despliegue del frontend como sitio estático en OCI Object Storage + configurar CORS en Spring Boot</t>
  </si>
  <si>
    <t>Frontend en vivo servido desde OCI e integrado con la API pública</t>
  </si>
  <si>
    <t>FE4</t>
  </si>
  <si>
    <t>QA visual de la UI con los 3 casos de prueba y pulido para el pitch</t>
  </si>
  <si>
    <t>FE3, T19</t>
  </si>
  <si>
    <t>UI validada con los 3 escenarios y lista para la demo</t>
  </si>
  <si>
    <t>T22</t>
  </si>
  <si>
    <t>S3 HITO</t>
  </si>
  <si>
    <t>Hito Sprint 3: Entrega del MVP de EnergiAI totalmente funcional</t>
  </si>
  <si>
    <t>T17, T18, T19, T21, FE4</t>
  </si>
  <si>
    <t>Entrega final del MVP EnergiAI a Alura + Oracle</t>
  </si>
  <si>
    <t>MÉTRICAS DE SEGUIMIENTO (SPRINT METRICS)</t>
  </si>
  <si>
    <t>Total de Tareas Planificadas:</t>
  </si>
  <si>
    <t>Tareas Completadas:</t>
  </si>
  <si>
    <t>Tareas En Progreso:</t>
  </si>
  <si>
    <t>Porcentaje de Avance General:</t>
  </si>
  <si>
    <t>Generated 2026-07-20 | v1.1</t>
  </si>
  <si>
    <t>Sandra Arboleda y Zuleyca Balles</t>
  </si>
  <si>
    <t>Sandra y Zuleyca (DS)</t>
  </si>
  <si>
    <t>Visión general, equipo de 7 personas, roles y convenciones de formato.</t>
  </si>
  <si>
    <t>Completada</t>
  </si>
  <si>
    <t>Instancia OCI VM ejecutándose y accesible por SSH (Nota: se creó una instancia en Render para alojar la VM del MVP)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</si>
</sst>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 x14ac:knownFonts="1">
    <font>
      <sz val="11"/>
      <color theme="1"/>
      <name val="Calibri"/>
      <family val="2"/>
      <charset val="1"/>
    </font>
    <font>
      <i/>
      <sz val="9"/>
      <color rgb="FF7F7F7F"/>
      <name val="Calibri"/>
      <family val="2"/>
    </font>
    <font>
      <b/>
      <sz val="16"/>
      <color rgb="FF1F4E78"/>
      <name val="Calibri"/>
      <family val="2"/>
    </font>
    <font>
      <i/>
      <sz val="11"/>
      <color rgb="FF595959"/>
      <name val="Calibri"/>
      <family val="2"/>
    </font>
    <font>
      <b/>
      <sz val="12"/>
      <color rgb="FF1F4E78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b/>
      <sz val="11"/>
      <color rgb="FF1F4E7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4F8"/>
        <bgColor rgb="FFFFFFFF"/>
      </patternFill>
    </fill>
    <fill>
      <patternFill patternType="solid">
        <fgColor rgb="FFDCE6F1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D9E1F2"/>
        <bgColor rgb="FFDCE6F1"/>
      </patternFill>
    </fill>
    <fill>
      <patternFill patternType="solid">
        <fgColor rgb="FFFFF2CC"/>
        <bgColor rgb="FFF2F4F8"/>
      </patternFill>
    </fill>
    <fill>
      <patternFill patternType="solid">
        <fgColor rgb="FFFFFFFF"/>
        <bgColor rgb="FFF2F4F8"/>
      </patternFill>
    </fill>
    <fill>
      <patternFill patternType="solid">
        <fgColor theme="0"/>
        <bgColor rgb="FFF2F4F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/>
      <top/>
      <bottom style="double">
        <color rgb="FF1F4E7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7" fillId="3" borderId="1" xfId="0" applyFont="1" applyFill="1" applyBorder="1"/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left"/>
    </xf>
    <xf numFmtId="164" fontId="7" fillId="8" borderId="1" xfId="0" applyNumberFormat="1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164" fontId="6" fillId="6" borderId="1" xfId="0" applyNumberFormat="1" applyFont="1" applyFill="1" applyBorder="1" applyAlignment="1">
      <alignment horizontal="center"/>
    </xf>
    <xf numFmtId="3" fontId="6" fillId="5" borderId="1" xfId="0" applyNumberFormat="1" applyFont="1" applyFill="1" applyBorder="1" applyAlignment="1">
      <alignment horizontal="right"/>
    </xf>
    <xf numFmtId="0" fontId="9" fillId="0" borderId="0" xfId="0" applyFont="1"/>
    <xf numFmtId="0" fontId="6" fillId="5" borderId="2" xfId="0" applyFont="1" applyFill="1" applyBorder="1"/>
    <xf numFmtId="165" fontId="6" fillId="5" borderId="3" xfId="0" applyNumberFormat="1" applyFont="1" applyFill="1" applyBorder="1"/>
    <xf numFmtId="0" fontId="7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1F2"/>
      <rgbColor rgb="FF7F7F7F"/>
      <rgbColor rgb="FF9999FF"/>
      <rgbColor rgb="FF993366"/>
      <rgbColor rgb="FFFFF2CC"/>
      <rgbColor rgb="FFDCE6F1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8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showGridLines="0" topLeftCell="A18" zoomScaleNormal="100" workbookViewId="0">
      <selection activeCell="C38" sqref="C38"/>
    </sheetView>
  </sheetViews>
  <sheetFormatPr baseColWidth="10" defaultColWidth="9.140625" defaultRowHeight="15" x14ac:dyDescent="0.25"/>
  <cols>
    <col min="1" max="1" width="44.7109375" customWidth="1"/>
    <col min="2" max="2" width="25" customWidth="1"/>
    <col min="3" max="3" width="75" customWidth="1"/>
  </cols>
  <sheetData>
    <row r="1" spans="1:3" x14ac:dyDescent="0.25">
      <c r="A1" s="1" t="s">
        <v>0</v>
      </c>
    </row>
    <row r="3" spans="1:3" ht="21" customHeight="1" x14ac:dyDescent="0.35">
      <c r="A3" s="2" t="s">
        <v>1</v>
      </c>
    </row>
    <row r="4" spans="1:3" x14ac:dyDescent="0.25">
      <c r="A4" s="3" t="s">
        <v>2</v>
      </c>
    </row>
    <row r="6" spans="1:3" ht="15.75" customHeight="1" x14ac:dyDescent="0.25">
      <c r="A6" s="4" t="s">
        <v>3</v>
      </c>
    </row>
    <row r="7" spans="1:3" x14ac:dyDescent="0.25">
      <c r="A7" s="5" t="s">
        <v>4</v>
      </c>
      <c r="B7" s="5" t="s">
        <v>5</v>
      </c>
      <c r="C7" s="5" t="s">
        <v>6</v>
      </c>
    </row>
    <row r="8" spans="1:3" x14ac:dyDescent="0.25">
      <c r="A8" s="6" t="s">
        <v>7</v>
      </c>
      <c r="B8" s="7" t="s">
        <v>196</v>
      </c>
      <c r="C8" s="8" t="str">
        <f>HYPERLINK("#'Resumen y Equipo'!A1", "Ir a Resumen")</f>
        <v>Ir a Resumen</v>
      </c>
    </row>
    <row r="9" spans="1:3" x14ac:dyDescent="0.25">
      <c r="A9" s="6" t="s">
        <v>8</v>
      </c>
      <c r="B9" s="7" t="s">
        <v>9</v>
      </c>
      <c r="C9" s="8" t="str">
        <f>HYPERLINK("#'Cronograma de Trabajo'!A1", "Ir a Cronograma")</f>
        <v>Ir a Cronograma</v>
      </c>
    </row>
    <row r="12" spans="1:3" ht="15.75" customHeight="1" x14ac:dyDescent="0.25">
      <c r="A12" s="4" t="s">
        <v>10</v>
      </c>
    </row>
    <row r="13" spans="1:3" x14ac:dyDescent="0.25">
      <c r="A13" s="5" t="s">
        <v>11</v>
      </c>
      <c r="B13" s="5" t="s">
        <v>12</v>
      </c>
      <c r="C13" s="5" t="s">
        <v>13</v>
      </c>
    </row>
    <row r="14" spans="1:3" x14ac:dyDescent="0.25">
      <c r="A14" s="6" t="s">
        <v>14</v>
      </c>
      <c r="B14" s="9" t="s">
        <v>15</v>
      </c>
      <c r="C14" s="7" t="s">
        <v>16</v>
      </c>
    </row>
    <row r="15" spans="1:3" x14ac:dyDescent="0.25">
      <c r="A15" s="6" t="s">
        <v>17</v>
      </c>
      <c r="B15" s="9" t="s">
        <v>18</v>
      </c>
      <c r="C15" s="7" t="s">
        <v>19</v>
      </c>
    </row>
    <row r="16" spans="1:3" x14ac:dyDescent="0.25">
      <c r="A16" s="6" t="s">
        <v>20</v>
      </c>
      <c r="B16" s="9" t="s">
        <v>18</v>
      </c>
      <c r="C16" s="7" t="s">
        <v>21</v>
      </c>
    </row>
    <row r="17" spans="1:3" x14ac:dyDescent="0.25">
      <c r="A17" s="6" t="s">
        <v>22</v>
      </c>
      <c r="B17" s="9" t="s">
        <v>18</v>
      </c>
      <c r="C17" s="7" t="s">
        <v>23</v>
      </c>
    </row>
    <row r="18" spans="1:3" x14ac:dyDescent="0.25">
      <c r="A18" s="6" t="s">
        <v>194</v>
      </c>
      <c r="B18" s="9" t="s">
        <v>24</v>
      </c>
      <c r="C18" s="7" t="s">
        <v>25</v>
      </c>
    </row>
    <row r="19" spans="1:3" x14ac:dyDescent="0.25">
      <c r="A19" s="6" t="s">
        <v>26</v>
      </c>
      <c r="B19" s="9" t="s">
        <v>24</v>
      </c>
      <c r="C19" s="7" t="s">
        <v>27</v>
      </c>
    </row>
    <row r="20" spans="1:3" x14ac:dyDescent="0.25">
      <c r="A20" s="6" t="s">
        <v>28</v>
      </c>
      <c r="B20" s="9" t="s">
        <v>24</v>
      </c>
      <c r="C20" s="7" t="s">
        <v>29</v>
      </c>
    </row>
    <row r="21" spans="1:3" x14ac:dyDescent="0.25">
      <c r="A21" s="6" t="s">
        <v>30</v>
      </c>
      <c r="B21" s="9" t="s">
        <v>31</v>
      </c>
      <c r="C21" s="7" t="s">
        <v>32</v>
      </c>
    </row>
    <row r="24" spans="1:3" ht="15.75" customHeight="1" x14ac:dyDescent="0.25">
      <c r="A24" s="4" t="s">
        <v>33</v>
      </c>
    </row>
    <row r="25" spans="1:3" x14ac:dyDescent="0.25">
      <c r="A25" s="5" t="s">
        <v>34</v>
      </c>
      <c r="B25" s="5" t="s">
        <v>35</v>
      </c>
      <c r="C25" s="5" t="s">
        <v>36</v>
      </c>
    </row>
    <row r="26" spans="1:3" x14ac:dyDescent="0.25">
      <c r="A26" s="10" t="s">
        <v>37</v>
      </c>
      <c r="B26" s="7" t="s">
        <v>38</v>
      </c>
      <c r="C26" s="7" t="s">
        <v>39</v>
      </c>
    </row>
    <row r="27" spans="1:3" x14ac:dyDescent="0.25">
      <c r="A27" s="11" t="s">
        <v>40</v>
      </c>
      <c r="B27" s="7" t="s">
        <v>41</v>
      </c>
      <c r="C27" s="7" t="s">
        <v>42</v>
      </c>
    </row>
    <row r="28" spans="1:3" x14ac:dyDescent="0.25">
      <c r="A28" s="12" t="s">
        <v>43</v>
      </c>
      <c r="B28" s="7" t="s">
        <v>44</v>
      </c>
      <c r="C28" s="7" t="s">
        <v>45</v>
      </c>
    </row>
    <row r="29" spans="1:3" x14ac:dyDescent="0.25">
      <c r="A29" s="13" t="s">
        <v>46</v>
      </c>
      <c r="B29" s="7" t="s">
        <v>47</v>
      </c>
      <c r="C29" s="7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showGridLines="0" tabSelected="1" topLeftCell="G1" zoomScale="97" zoomScaleNormal="100" workbookViewId="0">
      <pane ySplit="6" topLeftCell="A25" activePane="bottomLeft" state="frozen"/>
      <selection pane="bottomLeft" activeCell="M38" sqref="M38"/>
    </sheetView>
  </sheetViews>
  <sheetFormatPr baseColWidth="10" defaultColWidth="9.140625" defaultRowHeight="15" x14ac:dyDescent="0.25"/>
  <cols>
    <col min="1" max="1" width="77" customWidth="1"/>
    <col min="2" max="2" width="11" customWidth="1"/>
    <col min="3" max="3" width="27.85546875" customWidth="1"/>
    <col min="4" max="4" width="64.7109375" customWidth="1"/>
    <col min="5" max="5" width="21" customWidth="1"/>
    <col min="6" max="6" width="15" customWidth="1"/>
    <col min="7" max="7" width="21" customWidth="1"/>
    <col min="8" max="9" width="13" customWidth="1"/>
    <col min="10" max="11" width="12" customWidth="1"/>
    <col min="12" max="12" width="29.5703125" customWidth="1"/>
    <col min="13" max="13" width="98.85546875" customWidth="1"/>
  </cols>
  <sheetData>
    <row r="1" spans="1:13" x14ac:dyDescent="0.25">
      <c r="A1" s="1" t="s">
        <v>193</v>
      </c>
    </row>
    <row r="3" spans="1:13" ht="21" customHeight="1" x14ac:dyDescent="0.35">
      <c r="A3" s="2" t="s">
        <v>49</v>
      </c>
    </row>
    <row r="4" spans="1:13" x14ac:dyDescent="0.25">
      <c r="A4" s="3" t="s">
        <v>50</v>
      </c>
    </row>
    <row r="6" spans="1:13" ht="27.75" customHeight="1" x14ac:dyDescent="0.25">
      <c r="A6" s="14" t="s">
        <v>51</v>
      </c>
      <c r="B6" s="14" t="s">
        <v>52</v>
      </c>
      <c r="C6" s="14" t="s">
        <v>53</v>
      </c>
      <c r="D6" s="14" t="s">
        <v>54</v>
      </c>
      <c r="E6" s="14" t="s">
        <v>55</v>
      </c>
      <c r="F6" s="14" t="s">
        <v>56</v>
      </c>
      <c r="G6" s="14" t="s">
        <v>57</v>
      </c>
      <c r="H6" s="14" t="s">
        <v>58</v>
      </c>
      <c r="I6" s="14" t="s">
        <v>59</v>
      </c>
      <c r="J6" s="14" t="s">
        <v>60</v>
      </c>
      <c r="K6" s="14" t="s">
        <v>61</v>
      </c>
      <c r="L6" s="14" t="s">
        <v>62</v>
      </c>
      <c r="M6" s="14" t="s">
        <v>63</v>
      </c>
    </row>
    <row r="7" spans="1:13" x14ac:dyDescent="0.25">
      <c r="A7" s="15" t="s">
        <v>64</v>
      </c>
      <c r="B7" s="15" t="s">
        <v>65</v>
      </c>
      <c r="C7" s="16" t="s">
        <v>66</v>
      </c>
      <c r="D7" s="16" t="s">
        <v>67</v>
      </c>
      <c r="E7" s="16" t="s">
        <v>68</v>
      </c>
      <c r="F7" s="15" t="s">
        <v>69</v>
      </c>
      <c r="G7" s="15" t="s">
        <v>70</v>
      </c>
      <c r="H7" s="17">
        <v>46220</v>
      </c>
      <c r="I7" s="17">
        <v>46221</v>
      </c>
      <c r="J7" s="18">
        <f t="shared" ref="J7:J32" si="0">IF(AND(H7&lt;&gt;"", I7&lt;&gt;""), I7-H7+1, 0)</f>
        <v>2</v>
      </c>
      <c r="K7" s="19" t="s">
        <v>197</v>
      </c>
      <c r="L7" s="16" t="s">
        <v>71</v>
      </c>
      <c r="M7" s="16" t="s">
        <v>72</v>
      </c>
    </row>
    <row r="8" spans="1:13" x14ac:dyDescent="0.25">
      <c r="A8" s="15" t="s">
        <v>73</v>
      </c>
      <c r="B8" s="15" t="s">
        <v>65</v>
      </c>
      <c r="C8" s="16" t="s">
        <v>66</v>
      </c>
      <c r="D8" s="16" t="s">
        <v>74</v>
      </c>
      <c r="E8" s="16" t="s">
        <v>68</v>
      </c>
      <c r="F8" s="15" t="s">
        <v>75</v>
      </c>
      <c r="G8" s="15" t="s">
        <v>64</v>
      </c>
      <c r="H8" s="17">
        <v>46222</v>
      </c>
      <c r="I8" s="17">
        <v>46223</v>
      </c>
      <c r="J8" s="18">
        <f t="shared" si="0"/>
        <v>2</v>
      </c>
      <c r="K8" s="19" t="s">
        <v>197</v>
      </c>
      <c r="L8" s="16" t="s">
        <v>76</v>
      </c>
      <c r="M8" s="16" t="s">
        <v>77</v>
      </c>
    </row>
    <row r="9" spans="1:13" x14ac:dyDescent="0.25">
      <c r="A9" s="15" t="s">
        <v>78</v>
      </c>
      <c r="B9" s="15" t="s">
        <v>65</v>
      </c>
      <c r="C9" s="16" t="s">
        <v>79</v>
      </c>
      <c r="D9" s="16" t="s">
        <v>80</v>
      </c>
      <c r="E9" s="16" t="s">
        <v>195</v>
      </c>
      <c r="F9" s="15" t="s">
        <v>75</v>
      </c>
      <c r="G9" s="15" t="s">
        <v>70</v>
      </c>
      <c r="H9" s="17">
        <v>46220</v>
      </c>
      <c r="I9" s="17">
        <v>46222</v>
      </c>
      <c r="J9" s="18">
        <f t="shared" si="0"/>
        <v>3</v>
      </c>
      <c r="K9" s="19" t="s">
        <v>197</v>
      </c>
      <c r="L9" s="16" t="s">
        <v>81</v>
      </c>
      <c r="M9" s="16" t="s">
        <v>82</v>
      </c>
    </row>
    <row r="10" spans="1:13" x14ac:dyDescent="0.25">
      <c r="A10" s="15" t="s">
        <v>83</v>
      </c>
      <c r="B10" s="15" t="s">
        <v>65</v>
      </c>
      <c r="C10" s="16" t="s">
        <v>79</v>
      </c>
      <c r="D10" s="16" t="s">
        <v>84</v>
      </c>
      <c r="E10" s="16" t="s">
        <v>85</v>
      </c>
      <c r="F10" s="15" t="s">
        <v>69</v>
      </c>
      <c r="G10" s="15" t="s">
        <v>78</v>
      </c>
      <c r="H10" s="17">
        <v>46223</v>
      </c>
      <c r="I10" s="17">
        <v>46224</v>
      </c>
      <c r="J10" s="18">
        <f t="shared" si="0"/>
        <v>2</v>
      </c>
      <c r="K10" s="19" t="s">
        <v>197</v>
      </c>
      <c r="L10" s="16" t="s">
        <v>86</v>
      </c>
      <c r="M10" s="16" t="s">
        <v>87</v>
      </c>
    </row>
    <row r="11" spans="1:13" x14ac:dyDescent="0.25">
      <c r="A11" s="15" t="s">
        <v>88</v>
      </c>
      <c r="B11" s="15" t="s">
        <v>65</v>
      </c>
      <c r="C11" s="16" t="s">
        <v>89</v>
      </c>
      <c r="D11" s="16" t="s">
        <v>90</v>
      </c>
      <c r="E11" s="16" t="s">
        <v>91</v>
      </c>
      <c r="F11" s="15" t="s">
        <v>75</v>
      </c>
      <c r="G11" s="15" t="s">
        <v>70</v>
      </c>
      <c r="H11" s="17">
        <v>46220</v>
      </c>
      <c r="I11" s="17">
        <v>46222</v>
      </c>
      <c r="J11" s="18">
        <f t="shared" si="0"/>
        <v>3</v>
      </c>
      <c r="K11" s="19" t="s">
        <v>197</v>
      </c>
      <c r="L11" s="16" t="s">
        <v>92</v>
      </c>
      <c r="M11" s="16" t="s">
        <v>93</v>
      </c>
    </row>
    <row r="12" spans="1:13" x14ac:dyDescent="0.25">
      <c r="A12" s="15" t="s">
        <v>94</v>
      </c>
      <c r="B12" s="15" t="s">
        <v>65</v>
      </c>
      <c r="C12" s="16" t="s">
        <v>95</v>
      </c>
      <c r="D12" s="16" t="s">
        <v>96</v>
      </c>
      <c r="E12" s="16" t="s">
        <v>97</v>
      </c>
      <c r="F12" s="15" t="s">
        <v>75</v>
      </c>
      <c r="G12" s="15" t="s">
        <v>70</v>
      </c>
      <c r="H12" s="17">
        <v>46220</v>
      </c>
      <c r="I12" s="17">
        <v>46222</v>
      </c>
      <c r="J12" s="18">
        <f t="shared" si="0"/>
        <v>3</v>
      </c>
      <c r="K12" s="19" t="s">
        <v>197</v>
      </c>
      <c r="L12" s="16" t="s">
        <v>98</v>
      </c>
      <c r="M12" s="16" t="s">
        <v>99</v>
      </c>
    </row>
    <row r="13" spans="1:13" x14ac:dyDescent="0.25">
      <c r="A13" s="15" t="s">
        <v>100</v>
      </c>
      <c r="B13" s="15" t="s">
        <v>65</v>
      </c>
      <c r="C13" s="16" t="s">
        <v>95</v>
      </c>
      <c r="D13" s="16" t="s">
        <v>101</v>
      </c>
      <c r="E13" s="16" t="s">
        <v>102</v>
      </c>
      <c r="F13" s="15" t="s">
        <v>69</v>
      </c>
      <c r="G13" s="15" t="s">
        <v>94</v>
      </c>
      <c r="H13" s="17">
        <v>46223</v>
      </c>
      <c r="I13" s="17">
        <v>46225</v>
      </c>
      <c r="J13" s="18">
        <f t="shared" si="0"/>
        <v>3</v>
      </c>
      <c r="K13" s="19" t="s">
        <v>197</v>
      </c>
      <c r="L13" s="16" t="s">
        <v>98</v>
      </c>
      <c r="M13" s="16" t="s">
        <v>103</v>
      </c>
    </row>
    <row r="14" spans="1:13" x14ac:dyDescent="0.25">
      <c r="A14" s="15" t="s">
        <v>104</v>
      </c>
      <c r="B14" s="15" t="s">
        <v>65</v>
      </c>
      <c r="C14" s="16" t="s">
        <v>105</v>
      </c>
      <c r="D14" s="16" t="s">
        <v>106</v>
      </c>
      <c r="E14" s="27" t="s">
        <v>85</v>
      </c>
      <c r="F14" s="15" t="s">
        <v>75</v>
      </c>
      <c r="G14" s="15" t="s">
        <v>100</v>
      </c>
      <c r="H14" s="17">
        <v>46223</v>
      </c>
      <c r="I14" s="17">
        <v>46225</v>
      </c>
      <c r="J14" s="18">
        <f t="shared" si="0"/>
        <v>3</v>
      </c>
      <c r="K14" s="19" t="s">
        <v>197</v>
      </c>
      <c r="L14" s="16" t="s">
        <v>108</v>
      </c>
      <c r="M14" s="16" t="s">
        <v>109</v>
      </c>
    </row>
    <row r="15" spans="1:13" x14ac:dyDescent="0.25">
      <c r="A15" s="12" t="s">
        <v>110</v>
      </c>
      <c r="B15" s="12" t="s">
        <v>65</v>
      </c>
      <c r="C15" s="21" t="s">
        <v>111</v>
      </c>
      <c r="D15" s="21" t="s">
        <v>112</v>
      </c>
      <c r="E15" s="21" t="s">
        <v>113</v>
      </c>
      <c r="F15" s="12" t="s">
        <v>114</v>
      </c>
      <c r="G15" s="12" t="s">
        <v>115</v>
      </c>
      <c r="H15" s="22">
        <v>46226</v>
      </c>
      <c r="I15" s="22">
        <v>46226</v>
      </c>
      <c r="J15" s="23">
        <f t="shared" si="0"/>
        <v>1</v>
      </c>
      <c r="K15" s="19" t="s">
        <v>197</v>
      </c>
      <c r="L15" s="21" t="s">
        <v>70</v>
      </c>
      <c r="M15" s="21" t="s">
        <v>116</v>
      </c>
    </row>
    <row r="16" spans="1:13" x14ac:dyDescent="0.25">
      <c r="A16" s="15" t="s">
        <v>117</v>
      </c>
      <c r="B16" s="15" t="s">
        <v>118</v>
      </c>
      <c r="C16" s="16" t="s">
        <v>79</v>
      </c>
      <c r="D16" s="16" t="s">
        <v>119</v>
      </c>
      <c r="E16" s="16" t="s">
        <v>85</v>
      </c>
      <c r="F16" s="15" t="s">
        <v>69</v>
      </c>
      <c r="G16" s="15" t="s">
        <v>110</v>
      </c>
      <c r="H16" s="17">
        <v>46227</v>
      </c>
      <c r="I16" s="17">
        <v>46229</v>
      </c>
      <c r="J16" s="18">
        <f t="shared" si="0"/>
        <v>3</v>
      </c>
      <c r="K16" s="19" t="s">
        <v>197</v>
      </c>
      <c r="L16" s="16" t="s">
        <v>120</v>
      </c>
      <c r="M16" s="16" t="s">
        <v>121</v>
      </c>
    </row>
    <row r="17" spans="1:13" x14ac:dyDescent="0.25">
      <c r="A17" s="15" t="s">
        <v>122</v>
      </c>
      <c r="B17" s="15" t="s">
        <v>118</v>
      </c>
      <c r="C17" s="16" t="s">
        <v>79</v>
      </c>
      <c r="D17" s="16" t="s">
        <v>123</v>
      </c>
      <c r="E17" s="16" t="s">
        <v>124</v>
      </c>
      <c r="F17" s="15" t="s">
        <v>69</v>
      </c>
      <c r="G17" s="15" t="s">
        <v>117</v>
      </c>
      <c r="H17" s="17">
        <v>46230</v>
      </c>
      <c r="I17" s="17">
        <v>46231</v>
      </c>
      <c r="J17" s="18">
        <f t="shared" si="0"/>
        <v>2</v>
      </c>
      <c r="K17" s="19" t="s">
        <v>197</v>
      </c>
      <c r="L17" s="16" t="s">
        <v>81</v>
      </c>
      <c r="M17" s="16" t="s">
        <v>125</v>
      </c>
    </row>
    <row r="18" spans="1:13" x14ac:dyDescent="0.25">
      <c r="A18" s="15" t="s">
        <v>126</v>
      </c>
      <c r="B18" s="15" t="s">
        <v>118</v>
      </c>
      <c r="C18" s="16" t="s">
        <v>89</v>
      </c>
      <c r="D18" s="16" t="s">
        <v>127</v>
      </c>
      <c r="E18" s="16" t="s">
        <v>91</v>
      </c>
      <c r="F18" s="15" t="s">
        <v>75</v>
      </c>
      <c r="G18" s="15" t="s">
        <v>110</v>
      </c>
      <c r="H18" s="17">
        <v>46227</v>
      </c>
      <c r="I18" s="17">
        <v>46229</v>
      </c>
      <c r="J18" s="18">
        <f t="shared" si="0"/>
        <v>3</v>
      </c>
      <c r="K18" s="19" t="s">
        <v>197</v>
      </c>
      <c r="L18" s="16" t="s">
        <v>128</v>
      </c>
      <c r="M18" s="16" t="s">
        <v>129</v>
      </c>
    </row>
    <row r="19" spans="1:13" x14ac:dyDescent="0.25">
      <c r="A19" s="15" t="s">
        <v>130</v>
      </c>
      <c r="B19" s="15" t="s">
        <v>118</v>
      </c>
      <c r="C19" s="16" t="s">
        <v>95</v>
      </c>
      <c r="D19" s="16" t="s">
        <v>131</v>
      </c>
      <c r="E19" s="16" t="s">
        <v>102</v>
      </c>
      <c r="F19" s="15" t="s">
        <v>69</v>
      </c>
      <c r="G19" s="15" t="s">
        <v>132</v>
      </c>
      <c r="H19" s="17">
        <v>46231</v>
      </c>
      <c r="I19" s="17">
        <v>46233</v>
      </c>
      <c r="J19" s="18">
        <f t="shared" si="0"/>
        <v>3</v>
      </c>
      <c r="K19" s="19" t="s">
        <v>197</v>
      </c>
      <c r="L19" s="16" t="s">
        <v>133</v>
      </c>
      <c r="M19" s="16" t="s">
        <v>134</v>
      </c>
    </row>
    <row r="20" spans="1:13" x14ac:dyDescent="0.25">
      <c r="A20" s="15" t="s">
        <v>135</v>
      </c>
      <c r="B20" s="15" t="s">
        <v>118</v>
      </c>
      <c r="C20" s="16" t="s">
        <v>95</v>
      </c>
      <c r="D20" s="16" t="s">
        <v>136</v>
      </c>
      <c r="E20" s="16" t="s">
        <v>97</v>
      </c>
      <c r="F20" s="15" t="s">
        <v>75</v>
      </c>
      <c r="G20" s="15" t="s">
        <v>110</v>
      </c>
      <c r="H20" s="17">
        <v>46227</v>
      </c>
      <c r="I20" s="17">
        <v>46229</v>
      </c>
      <c r="J20" s="18">
        <f t="shared" si="0"/>
        <v>3</v>
      </c>
      <c r="K20" s="19" t="s">
        <v>197</v>
      </c>
      <c r="L20" s="16" t="s">
        <v>98</v>
      </c>
      <c r="M20" s="16" t="s">
        <v>137</v>
      </c>
    </row>
    <row r="21" spans="1:13" x14ac:dyDescent="0.25">
      <c r="A21" s="15" t="s">
        <v>138</v>
      </c>
      <c r="B21" s="15" t="s">
        <v>118</v>
      </c>
      <c r="C21" s="16" t="s">
        <v>66</v>
      </c>
      <c r="D21" s="16" t="s">
        <v>139</v>
      </c>
      <c r="E21" s="16" t="s">
        <v>68</v>
      </c>
      <c r="F21" s="15" t="s">
        <v>75</v>
      </c>
      <c r="G21" s="15" t="s">
        <v>110</v>
      </c>
      <c r="H21" s="17">
        <v>46227</v>
      </c>
      <c r="I21" s="17">
        <v>46228</v>
      </c>
      <c r="J21" s="18">
        <f t="shared" si="0"/>
        <v>2</v>
      </c>
      <c r="K21" s="19" t="s">
        <v>197</v>
      </c>
      <c r="L21" s="16" t="s">
        <v>140</v>
      </c>
      <c r="M21" s="16" t="s">
        <v>198</v>
      </c>
    </row>
    <row r="22" spans="1:13" x14ac:dyDescent="0.25">
      <c r="A22" s="15" t="s">
        <v>141</v>
      </c>
      <c r="B22" s="15" t="s">
        <v>118</v>
      </c>
      <c r="C22" s="16" t="s">
        <v>105</v>
      </c>
      <c r="D22" s="16" t="s">
        <v>142</v>
      </c>
      <c r="E22" s="20" t="s">
        <v>107</v>
      </c>
      <c r="F22" s="15" t="s">
        <v>69</v>
      </c>
      <c r="G22" s="15" t="s">
        <v>130</v>
      </c>
      <c r="H22" s="17">
        <v>46231</v>
      </c>
      <c r="I22" s="17">
        <v>46233</v>
      </c>
      <c r="J22" s="18">
        <f t="shared" si="0"/>
        <v>3</v>
      </c>
      <c r="K22" s="19" t="s">
        <v>197</v>
      </c>
      <c r="L22" s="16" t="s">
        <v>143</v>
      </c>
      <c r="M22" s="16" t="s">
        <v>144</v>
      </c>
    </row>
    <row r="23" spans="1:13" x14ac:dyDescent="0.25">
      <c r="A23" s="12" t="s">
        <v>145</v>
      </c>
      <c r="B23" s="12" t="s">
        <v>118</v>
      </c>
      <c r="C23" s="21" t="s">
        <v>146</v>
      </c>
      <c r="D23" s="21" t="s">
        <v>147</v>
      </c>
      <c r="E23" s="21" t="s">
        <v>113</v>
      </c>
      <c r="F23" s="12" t="s">
        <v>114</v>
      </c>
      <c r="G23" s="12" t="s">
        <v>148</v>
      </c>
      <c r="H23" s="22">
        <v>46233</v>
      </c>
      <c r="I23" s="22">
        <v>46233</v>
      </c>
      <c r="J23" s="23">
        <f t="shared" si="0"/>
        <v>1</v>
      </c>
      <c r="K23" s="19" t="s">
        <v>197</v>
      </c>
      <c r="L23" s="21" t="s">
        <v>70</v>
      </c>
      <c r="M23" s="21" t="s">
        <v>149</v>
      </c>
    </row>
    <row r="24" spans="1:13" x14ac:dyDescent="0.25">
      <c r="A24" s="15" t="s">
        <v>150</v>
      </c>
      <c r="B24" s="15" t="s">
        <v>151</v>
      </c>
      <c r="C24" s="16" t="s">
        <v>95</v>
      </c>
      <c r="D24" s="16" t="s">
        <v>152</v>
      </c>
      <c r="E24" s="16" t="s">
        <v>153</v>
      </c>
      <c r="F24" s="15" t="s">
        <v>75</v>
      </c>
      <c r="G24" s="15" t="s">
        <v>145</v>
      </c>
      <c r="H24" s="17">
        <v>46234</v>
      </c>
      <c r="I24" s="17">
        <v>46235</v>
      </c>
      <c r="J24" s="18">
        <f t="shared" si="0"/>
        <v>2</v>
      </c>
      <c r="K24" s="19" t="s">
        <v>197</v>
      </c>
      <c r="L24" s="16" t="s">
        <v>154</v>
      </c>
      <c r="M24" s="16" t="s">
        <v>155</v>
      </c>
    </row>
    <row r="25" spans="1:13" x14ac:dyDescent="0.25">
      <c r="A25" s="15" t="s">
        <v>156</v>
      </c>
      <c r="B25" s="15" t="s">
        <v>151</v>
      </c>
      <c r="C25" s="16" t="s">
        <v>95</v>
      </c>
      <c r="D25" s="16" t="s">
        <v>157</v>
      </c>
      <c r="E25" s="16" t="s">
        <v>153</v>
      </c>
      <c r="F25" s="15" t="s">
        <v>69</v>
      </c>
      <c r="G25" s="15" t="s">
        <v>150</v>
      </c>
      <c r="H25" s="17">
        <v>46236</v>
      </c>
      <c r="I25" s="17">
        <v>46237</v>
      </c>
      <c r="J25" s="18">
        <f t="shared" si="0"/>
        <v>2</v>
      </c>
      <c r="K25" s="19" t="s">
        <v>197</v>
      </c>
      <c r="L25" s="16" t="s">
        <v>158</v>
      </c>
      <c r="M25" s="16" t="s">
        <v>159</v>
      </c>
    </row>
    <row r="26" spans="1:13" x14ac:dyDescent="0.25">
      <c r="A26" s="15" t="s">
        <v>160</v>
      </c>
      <c r="B26" s="15" t="s">
        <v>151</v>
      </c>
      <c r="C26" s="16" t="s">
        <v>95</v>
      </c>
      <c r="D26" s="16" t="s">
        <v>161</v>
      </c>
      <c r="E26" s="16" t="s">
        <v>97</v>
      </c>
      <c r="F26" s="15" t="s">
        <v>75</v>
      </c>
      <c r="G26" s="15" t="s">
        <v>145</v>
      </c>
      <c r="H26" s="17">
        <v>46234</v>
      </c>
      <c r="I26" s="17">
        <v>46235</v>
      </c>
      <c r="J26" s="18">
        <f t="shared" si="0"/>
        <v>2</v>
      </c>
      <c r="K26" s="19" t="s">
        <v>197</v>
      </c>
      <c r="L26" s="16" t="s">
        <v>162</v>
      </c>
      <c r="M26" s="16" t="s">
        <v>163</v>
      </c>
    </row>
    <row r="27" spans="1:13" x14ac:dyDescent="0.25">
      <c r="A27" s="15" t="s">
        <v>164</v>
      </c>
      <c r="B27" s="15" t="s">
        <v>151</v>
      </c>
      <c r="C27" s="16" t="s">
        <v>165</v>
      </c>
      <c r="D27" s="16" t="s">
        <v>166</v>
      </c>
      <c r="E27" s="16" t="s">
        <v>91</v>
      </c>
      <c r="F27" s="15" t="s">
        <v>75</v>
      </c>
      <c r="G27" s="15" t="s">
        <v>156</v>
      </c>
      <c r="H27" s="17">
        <v>46238</v>
      </c>
      <c r="I27" s="17">
        <v>46239</v>
      </c>
      <c r="J27" s="18">
        <f t="shared" si="0"/>
        <v>2</v>
      </c>
      <c r="K27" s="19" t="s">
        <v>197</v>
      </c>
      <c r="L27" s="16" t="s">
        <v>167</v>
      </c>
      <c r="M27" s="16" t="s">
        <v>168</v>
      </c>
    </row>
    <row r="28" spans="1:13" x14ac:dyDescent="0.25">
      <c r="A28" s="15" t="s">
        <v>169</v>
      </c>
      <c r="B28" s="15" t="s">
        <v>151</v>
      </c>
      <c r="C28" s="16" t="s">
        <v>66</v>
      </c>
      <c r="D28" s="16" t="s">
        <v>170</v>
      </c>
      <c r="E28" s="16" t="s">
        <v>68</v>
      </c>
      <c r="F28" s="15" t="s">
        <v>75</v>
      </c>
      <c r="G28" s="15" t="s">
        <v>145</v>
      </c>
      <c r="H28" s="17">
        <v>46234</v>
      </c>
      <c r="I28" s="17">
        <v>46235</v>
      </c>
      <c r="J28" s="18">
        <f t="shared" si="0"/>
        <v>2</v>
      </c>
      <c r="K28" s="19" t="s">
        <v>197</v>
      </c>
      <c r="L28" s="16" t="s">
        <v>171</v>
      </c>
      <c r="M28" s="16" t="s">
        <v>172</v>
      </c>
    </row>
    <row r="29" spans="1:13" x14ac:dyDescent="0.25">
      <c r="A29" s="15" t="s">
        <v>173</v>
      </c>
      <c r="B29" s="15" t="s">
        <v>151</v>
      </c>
      <c r="C29" s="16" t="s">
        <v>66</v>
      </c>
      <c r="D29" s="16" t="s">
        <v>174</v>
      </c>
      <c r="E29" s="16" t="s">
        <v>68</v>
      </c>
      <c r="F29" s="15" t="s">
        <v>69</v>
      </c>
      <c r="G29" s="15" t="s">
        <v>164</v>
      </c>
      <c r="H29" s="17">
        <v>46239</v>
      </c>
      <c r="I29" s="17">
        <v>46240</v>
      </c>
      <c r="J29" s="18">
        <f t="shared" si="0"/>
        <v>2</v>
      </c>
      <c r="K29" s="19" t="s">
        <v>197</v>
      </c>
      <c r="L29" s="16" t="s">
        <v>70</v>
      </c>
      <c r="M29" s="16" t="s">
        <v>175</v>
      </c>
    </row>
    <row r="30" spans="1:13" x14ac:dyDescent="0.25">
      <c r="A30" s="15" t="s">
        <v>176</v>
      </c>
      <c r="B30" s="15" t="s">
        <v>151</v>
      </c>
      <c r="C30" s="16" t="s">
        <v>105</v>
      </c>
      <c r="D30" s="16" t="s">
        <v>177</v>
      </c>
      <c r="E30" s="20" t="s">
        <v>107</v>
      </c>
      <c r="F30" s="15" t="s">
        <v>69</v>
      </c>
      <c r="G30" s="15" t="s">
        <v>156</v>
      </c>
      <c r="H30" s="17">
        <v>46236</v>
      </c>
      <c r="I30" s="17">
        <v>46238</v>
      </c>
      <c r="J30" s="18">
        <f t="shared" si="0"/>
        <v>3</v>
      </c>
      <c r="K30" s="19" t="s">
        <v>197</v>
      </c>
      <c r="L30" s="16" t="s">
        <v>81</v>
      </c>
      <c r="M30" s="16" t="s">
        <v>178</v>
      </c>
    </row>
    <row r="31" spans="1:13" x14ac:dyDescent="0.25">
      <c r="A31" s="15" t="s">
        <v>179</v>
      </c>
      <c r="B31" s="15" t="s">
        <v>151</v>
      </c>
      <c r="C31" s="16" t="s">
        <v>105</v>
      </c>
      <c r="D31" s="16" t="s">
        <v>180</v>
      </c>
      <c r="E31" s="20" t="s">
        <v>107</v>
      </c>
      <c r="F31" s="15" t="s">
        <v>75</v>
      </c>
      <c r="G31" s="15" t="s">
        <v>181</v>
      </c>
      <c r="H31" s="17">
        <v>46239</v>
      </c>
      <c r="I31" s="17">
        <v>46239</v>
      </c>
      <c r="J31" s="18">
        <f t="shared" si="0"/>
        <v>1</v>
      </c>
      <c r="K31" s="19" t="s">
        <v>197</v>
      </c>
      <c r="L31" s="16" t="s">
        <v>70</v>
      </c>
      <c r="M31" s="16" t="s">
        <v>182</v>
      </c>
    </row>
    <row r="32" spans="1:13" x14ac:dyDescent="0.25">
      <c r="A32" s="12" t="s">
        <v>183</v>
      </c>
      <c r="B32" s="12" t="s">
        <v>151</v>
      </c>
      <c r="C32" s="21" t="s">
        <v>184</v>
      </c>
      <c r="D32" s="21" t="s">
        <v>185</v>
      </c>
      <c r="E32" s="21" t="s">
        <v>113</v>
      </c>
      <c r="F32" s="12" t="s">
        <v>114</v>
      </c>
      <c r="G32" s="12" t="s">
        <v>186</v>
      </c>
      <c r="H32" s="22">
        <v>46240</v>
      </c>
      <c r="I32" s="22">
        <v>46240</v>
      </c>
      <c r="J32" s="23">
        <f t="shared" si="0"/>
        <v>1</v>
      </c>
      <c r="K32" s="19" t="s">
        <v>197</v>
      </c>
      <c r="L32" s="21" t="s">
        <v>70</v>
      </c>
      <c r="M32" s="21" t="s">
        <v>187</v>
      </c>
    </row>
    <row r="35" spans="3:4" x14ac:dyDescent="0.25">
      <c r="C35" s="24" t="s">
        <v>188</v>
      </c>
    </row>
    <row r="36" spans="3:4" x14ac:dyDescent="0.25">
      <c r="C36" t="s">
        <v>189</v>
      </c>
      <c r="D36" s="25">
        <f>COUNTA(A7:A32)</f>
        <v>26</v>
      </c>
    </row>
    <row r="37" spans="3:4" x14ac:dyDescent="0.25">
      <c r="C37" t="s">
        <v>190</v>
      </c>
      <c r="D37" s="25">
        <v>26</v>
      </c>
    </row>
    <row r="38" spans="3:4" x14ac:dyDescent="0.25">
      <c r="C38" t="s">
        <v>191</v>
      </c>
      <c r="D38" s="25">
        <f>COUNTIF(K7:K32, "In Progress")</f>
        <v>0</v>
      </c>
    </row>
    <row r="39" spans="3:4" x14ac:dyDescent="0.25">
      <c r="C39" t="s">
        <v>192</v>
      </c>
      <c r="D39" s="26">
        <v>1</v>
      </c>
    </row>
  </sheetData>
  <autoFilter ref="A6:M3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y Equipo</vt:lpstr>
      <vt:lpstr>Cronograma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Héctor Caraucán</cp:lastModifiedBy>
  <cp:revision>0</cp:revision>
  <dcterms:created xsi:type="dcterms:W3CDTF">2026-07-16T17:55:20Z</dcterms:created>
  <dcterms:modified xsi:type="dcterms:W3CDTF">2026-08-25T06:25:03Z</dcterms:modified>
  <dc:language>en-US</dc:language>
</cp:coreProperties>
</file>